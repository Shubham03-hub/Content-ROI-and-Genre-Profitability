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HUBHAM\OneDrive\Desktop\THAI SERIES WORLDWIDE DATASET\Topic 2  Content ROI &amp; Genre Profitability\"/>
    </mc:Choice>
  </mc:AlternateContent>
  <bookViews>
    <workbookView xWindow="0" yWindow="0" windowWidth="15375" windowHeight="11145" activeTab="4"/>
  </bookViews>
  <sheets>
    <sheet name="DATA" sheetId="4" r:id="rId1"/>
    <sheet name="Revenue Trend (Year &amp; Quarter)" sheetId="3" r:id="rId2"/>
    <sheet name="Revenue by Genre" sheetId="5" r:id="rId3"/>
    <sheet name="ROI Trend (Year Based)" sheetId="6" r:id="rId4"/>
    <sheet name="Social Impact Analysis" sheetId="7" r:id="rId5"/>
  </sheets>
  <calcPr calcId="152511"/>
  <pivotCaches>
    <pivotCache cacheId="0" r:id="rId6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<sst xmlns="http://schemas.openxmlformats.org/spreadsheetml/2006/main" count="66" uniqueCount="36">
  <si>
    <t>Platform</t>
  </si>
  <si>
    <t>Budget (THB)</t>
  </si>
  <si>
    <t>Revenue (THB)</t>
  </si>
  <si>
    <t>Social Mentions</t>
  </si>
  <si>
    <t>Merchandise Sales (THB)</t>
  </si>
  <si>
    <t>YouTube</t>
  </si>
  <si>
    <t>TV</t>
  </si>
  <si>
    <t>ROI %</t>
  </si>
  <si>
    <t>Profit Margin %</t>
  </si>
  <si>
    <t>Sum of Revenue (THB)</t>
  </si>
  <si>
    <t>Sum of ROI %</t>
  </si>
  <si>
    <t>Grand Total</t>
  </si>
  <si>
    <t>Series Name</t>
  </si>
  <si>
    <t>Genre</t>
  </si>
  <si>
    <t>Profit (THB)</t>
  </si>
  <si>
    <t>Action Blast</t>
  </si>
  <si>
    <t>Action</t>
  </si>
  <si>
    <t>Family Drama</t>
  </si>
  <si>
    <t>Drama</t>
  </si>
  <si>
    <t>Comedy Nights</t>
  </si>
  <si>
    <t>Comedy</t>
  </si>
  <si>
    <t>Crime Files</t>
  </si>
  <si>
    <t>Thriller</t>
  </si>
  <si>
    <t>Super Legends</t>
  </si>
  <si>
    <t>OTT Originals</t>
  </si>
  <si>
    <t>OTT</t>
  </si>
  <si>
    <t>Year</t>
  </si>
  <si>
    <t>Quarter</t>
  </si>
  <si>
    <t>Q1</t>
  </si>
  <si>
    <t>Q2</t>
  </si>
  <si>
    <t>Q3</t>
  </si>
  <si>
    <t>Q4</t>
  </si>
  <si>
    <t>Row Labels</t>
  </si>
  <si>
    <t>Sum of Profit (THB)</t>
  </si>
  <si>
    <t>Sum of Merchandise Sales (THB)</t>
  </si>
  <si>
    <t>Sum of Social Mentions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</si>
</sst>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rgb="FF3F3F3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10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" fillId="2" borderId="1" xfId="1" applyAlignment="1">
      <alignment horizontal="center" vertical="center" wrapText="1"/>
    </xf>
    <xf numFmtId="0" fontId="1" fillId="2" borderId="1" xfId="1" applyAlignment="1">
      <alignment vertical="center" wrapText="1"/>
    </xf>
    <xf numFmtId="3" fontId="1" fillId="2" borderId="1" xfId="1" applyNumberFormat="1" applyAlignment="1">
      <alignment vertical="center" wrapText="1"/>
    </xf>
    <xf numFmtId="9" fontId="1" fillId="2" borderId="1" xfId="1" applyNumberFormat="1" applyAlignment="1">
      <alignment vertical="center" wrapText="1"/>
    </xf>
    <xf numFmtId="10" fontId="1" fillId="2" borderId="1" xfId="1" applyNumberFormat="1" applyAlignment="1">
      <alignment vertical="center" wrapText="1"/>
    </xf>
    <xf numFmtId="0" fontId="0" fillId="0" borderId="0" xfId="0" applyAlignment="1">
      <alignment horizontal="left" indent="1"/>
    </xf>
  </cellXfs>
  <cellStyles count="2">
    <cellStyle name="Normal" xfId="0" builtinId="0"/>
    <cellStyle name="Output" xfId="1" builtin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[Content ROI &amp; Genre Profitability.xlsx]Revenue Trend (Year &amp; Quarter)!PivotTable1</c:name>
    <c:fmtId val="0"/>
  </c:pivotSource>
  <c:chart>
    <c:autoTitleDeleted val="0"/>
    <c:pivotFmts>
      <c:pivotFmt>
        <c:idx val="0"/>
        <c:spPr>
          <a:ln w="22225" cap="rnd">
            <a:solidFill>
              <a:schemeClr val="accent1"/>
            </a:solidFill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1"/>
        <c:spPr>
          <a:ln w="22225" cap="rnd">
            <a:solidFill>
              <a:schemeClr val="accent1"/>
            </a:solidFill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2">
                  <a:satMod val="175000"/>
                  <a:alpha val="25000"/>
                </a:schemeClr>
              </a:glow>
            </a:effectLst>
          </c:spPr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'Revenue Trend (Year &amp; Quarter)'!$D$3</c:f>
              <c:strCache>
                <c:ptCount val="1"/>
                <c:pt idx="0">
                  <c:v>Sum of Profit (THB)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'Revenue Trend (Year &amp; Quarter)'!$C$4:$C$12</c:f>
              <c:multiLvlStrCache>
                <c:ptCount val="6"/>
                <c:lvl>
                  <c:pt idx="0">
                    <c:v>Q1</c:v>
                  </c:pt>
                  <c:pt idx="1">
                    <c:v>Q2</c:v>
                  </c:pt>
                  <c:pt idx="2">
                    <c:v>Q3</c:v>
                  </c:pt>
                  <c:pt idx="3">
                    <c:v>Q4</c:v>
                  </c:pt>
                  <c:pt idx="4">
                    <c:v>Q1</c:v>
                  </c:pt>
                  <c:pt idx="5">
                    <c:v>Q2</c:v>
                  </c:pt>
                </c:lvl>
                <c:lvl>
                  <c:pt idx="0">
                    <c:v>2023</c:v>
                  </c:pt>
                  <c:pt idx="4">
                    <c:v>2024</c:v>
                  </c:pt>
                </c:lvl>
              </c:multiLvlStrCache>
            </c:multiLvlStrRef>
          </c:cat>
          <c:val>
            <c:numRef>
              <c:f>'Revenue Trend (Year &amp; Quarter)'!$D$4:$D$12</c:f>
              <c:numCache>
                <c:formatCode>General</c:formatCode>
                <c:ptCount val="6"/>
                <c:pt idx="0">
                  <c:v>25000000</c:v>
                </c:pt>
                <c:pt idx="1">
                  <c:v>15000000</c:v>
                </c:pt>
                <c:pt idx="2">
                  <c:v>7000000</c:v>
                </c:pt>
                <c:pt idx="3">
                  <c:v>6000000</c:v>
                </c:pt>
                <c:pt idx="4">
                  <c:v>40000000</c:v>
                </c:pt>
                <c:pt idx="5">
                  <c:v>6000000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'Revenue Trend (Year &amp; Quarter)'!$E$3</c:f>
              <c:strCache>
                <c:ptCount val="1"/>
                <c:pt idx="0">
                  <c:v>Sum of Revenue (THB)</c:v>
                </c:pt>
              </c:strCache>
            </c:strRef>
          </c:tx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2">
                    <a:satMod val="175000"/>
                    <a:alpha val="25000"/>
                  </a:schemeClr>
                </a:glo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'Revenue Trend (Year &amp; Quarter)'!$C$4:$C$12</c:f>
              <c:multiLvlStrCache>
                <c:ptCount val="6"/>
                <c:lvl>
                  <c:pt idx="0">
                    <c:v>Q1</c:v>
                  </c:pt>
                  <c:pt idx="1">
                    <c:v>Q2</c:v>
                  </c:pt>
                  <c:pt idx="2">
                    <c:v>Q3</c:v>
                  </c:pt>
                  <c:pt idx="3">
                    <c:v>Q4</c:v>
                  </c:pt>
                  <c:pt idx="4">
                    <c:v>Q1</c:v>
                  </c:pt>
                  <c:pt idx="5">
                    <c:v>Q2</c:v>
                  </c:pt>
                </c:lvl>
                <c:lvl>
                  <c:pt idx="0">
                    <c:v>2023</c:v>
                  </c:pt>
                  <c:pt idx="4">
                    <c:v>2024</c:v>
                  </c:pt>
                </c:lvl>
              </c:multiLvlStrCache>
            </c:multiLvlStrRef>
          </c:cat>
          <c:val>
            <c:numRef>
              <c:f>'Revenue Trend (Year &amp; Quarter)'!$E$4:$E$12</c:f>
              <c:numCache>
                <c:formatCode>General</c:formatCode>
                <c:ptCount val="6"/>
                <c:pt idx="0">
                  <c:v>45000000</c:v>
                </c:pt>
                <c:pt idx="1">
                  <c:v>40000000</c:v>
                </c:pt>
                <c:pt idx="2">
                  <c:v>22000000</c:v>
                </c:pt>
                <c:pt idx="3">
                  <c:v>24000000</c:v>
                </c:pt>
                <c:pt idx="4">
                  <c:v>70000000</c:v>
                </c:pt>
                <c:pt idx="5">
                  <c:v>28000000</c:v>
                </c:pt>
              </c:numCache>
            </c:numRef>
          </c:val>
          <c:smooth val="0"/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371930416"/>
        <c:axId val="371901720"/>
      </c:lineChart>
      <c:catAx>
        <c:axId val="371930416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1901720"/>
        <c:crosses val="autoZero"/>
        <c:auto val="1"/>
        <c:lblAlgn val="ctr"/>
        <c:lblOffset val="100"/>
        <c:noMultiLvlLbl val="0"/>
      </c:catAx>
      <c:valAx>
        <c:axId val="37190172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19304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[Content ROI &amp; Genre Profitability.xlsx]Revenue by Genre!PivotTable2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1600" b="1" i="0" u="none" strike="noStrike" baseline="0"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</a:rPr>
              <a:t>Revenue by Genre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'Revenue by Genre'!$B$3</c:f>
              <c:strCache>
                <c:ptCount val="1"/>
                <c:pt idx="0">
                  <c:v>Sum of Revenue (THB)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'Revenue by Genre'!$A$4:$A$8</c:f>
              <c:strCache>
                <c:ptCount val="4"/>
                <c:pt idx="0">
                  <c:v>Action</c:v>
                </c:pt>
                <c:pt idx="1">
                  <c:v>Comedy</c:v>
                </c:pt>
                <c:pt idx="2">
                  <c:v>Drama</c:v>
                </c:pt>
                <c:pt idx="3">
                  <c:v>Thriller</c:v>
                </c:pt>
              </c:strCache>
            </c:strRef>
          </c:cat>
          <c:val>
            <c:numRef>
              <c:f>'Revenue by Genre'!$B$4:$B$8</c:f>
              <c:numCache>
                <c:formatCode>General</c:formatCode>
                <c:ptCount val="4"/>
                <c:pt idx="0">
                  <c:v>115000000</c:v>
                </c:pt>
                <c:pt idx="1">
                  <c:v>22000000</c:v>
                </c:pt>
                <c:pt idx="2">
                  <c:v>68000000</c:v>
                </c:pt>
                <c:pt idx="3">
                  <c:v>24000000</c:v>
                </c:pt>
              </c:numCache>
            </c:numRef>
          </c:val>
        </c:ser>
        <c:ser>
          <c:idx val="1"/>
          <c:order val="1"/>
          <c:tx>
            <c:strRef>
              <c:f>'Revenue by Genre'!$C$3</c:f>
              <c:strCache>
                <c:ptCount val="1"/>
                <c:pt idx="0">
                  <c:v>Sum of Profit (THB)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'Revenue by Genre'!$A$4:$A$8</c:f>
              <c:strCache>
                <c:ptCount val="4"/>
                <c:pt idx="0">
                  <c:v>Action</c:v>
                </c:pt>
                <c:pt idx="1">
                  <c:v>Comedy</c:v>
                </c:pt>
                <c:pt idx="2">
                  <c:v>Drama</c:v>
                </c:pt>
                <c:pt idx="3">
                  <c:v>Thriller</c:v>
                </c:pt>
              </c:strCache>
            </c:strRef>
          </c:cat>
          <c:val>
            <c:numRef>
              <c:f>'Revenue by Genre'!$C$4:$C$8</c:f>
              <c:numCache>
                <c:formatCode>General</c:formatCode>
                <c:ptCount val="4"/>
                <c:pt idx="0">
                  <c:v>65000000</c:v>
                </c:pt>
                <c:pt idx="1">
                  <c:v>7000000</c:v>
                </c:pt>
                <c:pt idx="2">
                  <c:v>21000000</c:v>
                </c:pt>
                <c:pt idx="3">
                  <c:v>6000000</c:v>
                </c:pt>
              </c:numCache>
            </c:numRef>
          </c:val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140855432"/>
        <c:axId val="356891296"/>
      </c:barChart>
      <c:catAx>
        <c:axId val="14085543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6891296"/>
        <c:crosses val="autoZero"/>
        <c:auto val="1"/>
        <c:lblAlgn val="ctr"/>
        <c:lblOffset val="100"/>
        <c:noMultiLvlLbl val="0"/>
      </c:catAx>
      <c:valAx>
        <c:axId val="3568912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8554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[Content ROI &amp; Genre Profitability.xlsx]ROI Trend (Year Based)!PivotTable3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2225" cap="rnd">
            <a:solidFill>
              <a:schemeClr val="accent1"/>
            </a:solidFill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'ROI Trend (Year Based)'!$C$4</c:f>
              <c:strCache>
                <c:ptCount val="1"/>
                <c:pt idx="0">
                  <c:v>Total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'ROI Trend (Year Based)'!$B$5:$B$7</c:f>
              <c:strCache>
                <c:ptCount val="2"/>
                <c:pt idx="0">
                  <c:v>2023</c:v>
                </c:pt>
                <c:pt idx="1">
                  <c:v>2024</c:v>
                </c:pt>
              </c:strCache>
            </c:strRef>
          </c:cat>
          <c:val>
            <c:numRef>
              <c:f>'ROI Trend (Year Based)'!$C$5:$C$7</c:f>
              <c:numCache>
                <c:formatCode>General</c:formatCode>
                <c:ptCount val="2"/>
                <c:pt idx="0">
                  <c:v>2.65</c:v>
                </c:pt>
                <c:pt idx="1">
                  <c:v>1.6059999999999999</c:v>
                </c:pt>
              </c:numCache>
            </c:numRef>
          </c:val>
          <c:smooth val="0"/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372881288"/>
        <c:axId val="373048104"/>
      </c:lineChart>
      <c:catAx>
        <c:axId val="372881288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3048104"/>
        <c:crosses val="autoZero"/>
        <c:auto val="1"/>
        <c:lblAlgn val="ctr"/>
        <c:lblOffset val="100"/>
        <c:noMultiLvlLbl val="0"/>
      </c:catAx>
      <c:valAx>
        <c:axId val="373048104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28812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[Content ROI &amp; Genre Profitability.xlsx]Social Impact Analysis!PivotTable4</c:name>
    <c:fmtId val="0"/>
  </c:pivotSource>
  <c:chart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'Social Impact Analysis'!$C$3</c:f>
              <c:strCache>
                <c:ptCount val="1"/>
                <c:pt idx="0">
                  <c:v>Sum of Merchandise Sales (THB)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'Social Impact Analysis'!$B$4:$B$10</c:f>
              <c:strCache>
                <c:ptCount val="6"/>
                <c:pt idx="0">
                  <c:v>Action Blast</c:v>
                </c:pt>
                <c:pt idx="1">
                  <c:v>Comedy Nights</c:v>
                </c:pt>
                <c:pt idx="2">
                  <c:v>Crime Files</c:v>
                </c:pt>
                <c:pt idx="3">
                  <c:v>Family Drama</c:v>
                </c:pt>
                <c:pt idx="4">
                  <c:v>OTT Originals</c:v>
                </c:pt>
                <c:pt idx="5">
                  <c:v>Super Legends</c:v>
                </c:pt>
              </c:strCache>
            </c:strRef>
          </c:cat>
          <c:val>
            <c:numRef>
              <c:f>'Social Impact Analysis'!$C$4:$C$10</c:f>
              <c:numCache>
                <c:formatCode>General</c:formatCode>
                <c:ptCount val="6"/>
                <c:pt idx="0">
                  <c:v>18000000</c:v>
                </c:pt>
                <c:pt idx="1">
                  <c:v>5000000</c:v>
                </c:pt>
                <c:pt idx="2">
                  <c:v>6000000</c:v>
                </c:pt>
                <c:pt idx="3">
                  <c:v>12000000</c:v>
                </c:pt>
                <c:pt idx="4">
                  <c:v>7000000</c:v>
                </c:pt>
                <c:pt idx="5">
                  <c:v>30000000</c:v>
                </c:pt>
              </c:numCache>
            </c:numRef>
          </c:val>
        </c:ser>
        <c:ser>
          <c:idx val="1"/>
          <c:order val="1"/>
          <c:tx>
            <c:strRef>
              <c:f>'Social Impact Analysis'!$D$3</c:f>
              <c:strCache>
                <c:ptCount val="1"/>
                <c:pt idx="0">
                  <c:v>Sum of Social Mentions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'Social Impact Analysis'!$B$4:$B$10</c:f>
              <c:strCache>
                <c:ptCount val="6"/>
                <c:pt idx="0">
                  <c:v>Action Blast</c:v>
                </c:pt>
                <c:pt idx="1">
                  <c:v>Comedy Nights</c:v>
                </c:pt>
                <c:pt idx="2">
                  <c:v>Crime Files</c:v>
                </c:pt>
                <c:pt idx="3">
                  <c:v>Family Drama</c:v>
                </c:pt>
                <c:pt idx="4">
                  <c:v>OTT Originals</c:v>
                </c:pt>
                <c:pt idx="5">
                  <c:v>Super Legends</c:v>
                </c:pt>
              </c:strCache>
            </c:strRef>
          </c:cat>
          <c:val>
            <c:numRef>
              <c:f>'Social Impact Analysis'!$D$4:$D$10</c:f>
              <c:numCache>
                <c:formatCode>General</c:formatCode>
                <c:ptCount val="6"/>
                <c:pt idx="0">
                  <c:v>150000</c:v>
                </c:pt>
                <c:pt idx="1">
                  <c:v>90000</c:v>
                </c:pt>
                <c:pt idx="2">
                  <c:v>85000</c:v>
                </c:pt>
                <c:pt idx="3">
                  <c:v>120000</c:v>
                </c:pt>
                <c:pt idx="4">
                  <c:v>95000</c:v>
                </c:pt>
                <c:pt idx="5">
                  <c:v>220000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72247360"/>
        <c:axId val="372247744"/>
      </c:barChart>
      <c:catAx>
        <c:axId val="3722473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2247744"/>
        <c:crosses val="autoZero"/>
        <c:auto val="1"/>
        <c:lblAlgn val="ctr"/>
        <c:lblOffset val="100"/>
        <c:noMultiLvlLbl val="0"/>
      </c:catAx>
      <c:valAx>
        <c:axId val="372247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22473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228599</xdr:colOff>
      <xdr:row>12</xdr:row>
      <xdr:rowOff>161925</xdr:rowOff>
    </xdr:from>
    <xdr:to>
      <xdr:col>6</xdr:col>
      <xdr:colOff>457200</xdr:colOff>
      <xdr:row>35</xdr:row>
      <xdr:rowOff>47624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509587</xdr:colOff>
      <xdr:row>9</xdr:row>
      <xdr:rowOff>80961</xdr:rowOff>
    </xdr:from>
    <xdr:to>
      <xdr:col>9</xdr:col>
      <xdr:colOff>600075</xdr:colOff>
      <xdr:row>35</xdr:row>
      <xdr:rowOff>104775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338136</xdr:colOff>
      <xdr:row>8</xdr:row>
      <xdr:rowOff>4761</xdr:rowOff>
    </xdr:from>
    <xdr:to>
      <xdr:col>12</xdr:col>
      <xdr:colOff>95249</xdr:colOff>
      <xdr:row>32</xdr:row>
      <xdr:rowOff>9524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576261</xdr:colOff>
      <xdr:row>11</xdr:row>
      <xdr:rowOff>4762</xdr:rowOff>
    </xdr:from>
    <xdr:to>
      <xdr:col>8</xdr:col>
      <xdr:colOff>9524</xdr:colOff>
      <xdr:row>35</xdr:row>
      <xdr:rowOff>133350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Shubham Panchal" refreshedDate="46077.686734722221" createdVersion="5" refreshedVersion="5" minRefreshableVersion="3" recordCount="6">
  <cacheSource type="worksheet">
    <worksheetSource ref="A1:L7" sheet="DATA"/>
  </cacheSource>
  <cacheFields count="12">
    <cacheField name="Year" numFmtId="0">
      <sharedItems containsSemiMixedTypes="0" containsString="0" containsNumber="1" containsInteger="1" minValue="2023" maxValue="2024" count="2">
        <n v="2023"/>
        <n v="2024"/>
      </sharedItems>
    </cacheField>
    <cacheField name="Quarter" numFmtId="0">
      <sharedItems count="4">
        <s v="Q1"/>
        <s v="Q2"/>
        <s v="Q3"/>
        <s v="Q4"/>
      </sharedItems>
    </cacheField>
    <cacheField name="Series Name" numFmtId="0">
      <sharedItems count="6">
        <s v="Action Blast"/>
        <s v="Family Drama"/>
        <s v="Comedy Nights"/>
        <s v="Crime Files"/>
        <s v="Super Legends"/>
        <s v="OTT Originals"/>
      </sharedItems>
    </cacheField>
    <cacheField name="Genre" numFmtId="0">
      <sharedItems count="4">
        <s v="Action"/>
        <s v="Drama"/>
        <s v="Comedy"/>
        <s v="Thriller"/>
      </sharedItems>
    </cacheField>
    <cacheField name="Platform" numFmtId="0">
      <sharedItems/>
    </cacheField>
    <cacheField name="Budget (THB)" numFmtId="3">
      <sharedItems containsSemiMixedTypes="0" containsString="0" containsNumber="1" containsInteger="1" minValue="15000000" maxValue="30000000"/>
    </cacheField>
    <cacheField name="Revenue (THB)" numFmtId="3">
      <sharedItems containsSemiMixedTypes="0" containsString="0" containsNumber="1" containsInteger="1" minValue="22000000" maxValue="70000000"/>
    </cacheField>
    <cacheField name="Social Mentions" numFmtId="3">
      <sharedItems containsSemiMixedTypes="0" containsString="0" containsNumber="1" containsInteger="1" minValue="85000" maxValue="220000"/>
    </cacheField>
    <cacheField name="Merchandise Sales (THB)" numFmtId="3">
      <sharedItems containsSemiMixedTypes="0" containsString="0" containsNumber="1" containsInteger="1" minValue="5000000" maxValue="30000000"/>
    </cacheField>
    <cacheField name="Profit (THB)" numFmtId="3">
      <sharedItems containsSemiMixedTypes="0" containsString="0" containsNumber="1" containsInteger="1" minValue="6000000" maxValue="40000000"/>
    </cacheField>
    <cacheField name="ROI %" numFmtId="0">
      <sharedItems containsSemiMixedTypes="0" containsString="0" containsNumber="1" minValue="0.2727" maxValue="1.3332999999999999"/>
    </cacheField>
    <cacheField name="Profit Margin %" numFmtId="10">
      <sharedItems containsSemiMixedTypes="0" containsString="0" containsNumber="1" minValue="0.21429999999999999" maxValue="0.5714000000000000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6">
  <r>
    <x v="0"/>
    <x v="0"/>
    <x v="0"/>
    <x v="0"/>
    <s v="YouTube"/>
    <n v="20000000"/>
    <n v="45000000"/>
    <n v="150000"/>
    <n v="18000000"/>
    <n v="25000000"/>
    <n v="1.25"/>
    <n v="0.55559999999999998"/>
  </r>
  <r>
    <x v="0"/>
    <x v="1"/>
    <x v="1"/>
    <x v="1"/>
    <s v="TV"/>
    <n v="25000000"/>
    <n v="40000000"/>
    <n v="120000"/>
    <n v="12000000"/>
    <n v="15000000"/>
    <n v="0.6"/>
    <n v="0.375"/>
  </r>
  <r>
    <x v="0"/>
    <x v="2"/>
    <x v="2"/>
    <x v="2"/>
    <s v="YouTube"/>
    <n v="15000000"/>
    <n v="22000000"/>
    <n v="90000"/>
    <n v="5000000"/>
    <n v="7000000"/>
    <n v="0.4667"/>
    <n v="0.31819999999999998"/>
  </r>
  <r>
    <x v="0"/>
    <x v="3"/>
    <x v="3"/>
    <x v="3"/>
    <s v="TV"/>
    <n v="18000000"/>
    <n v="24000000"/>
    <n v="85000"/>
    <n v="6000000"/>
    <n v="6000000"/>
    <n v="0.33329999999999999"/>
    <n v="0.25"/>
  </r>
  <r>
    <x v="1"/>
    <x v="0"/>
    <x v="4"/>
    <x v="0"/>
    <s v="YouTube"/>
    <n v="30000000"/>
    <n v="70000000"/>
    <n v="220000"/>
    <n v="30000000"/>
    <n v="40000000"/>
    <n v="1.3332999999999999"/>
    <n v="0.57140000000000002"/>
  </r>
  <r>
    <x v="1"/>
    <x v="1"/>
    <x v="5"/>
    <x v="1"/>
    <s v="OTT"/>
    <n v="22000000"/>
    <n v="28000000"/>
    <n v="95000"/>
    <n v="7000000"/>
    <n v="6000000"/>
    <n v="0.2727"/>
    <n v="0.2142999999999999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15">
  <location ref="C3:E12" firstHeaderRow="0" firstDataRow="1" firstDataCol="1"/>
  <pivotFields count="12">
    <pivotField axis="axisRow" showAll="0">
      <items count="3">
        <item x="0"/>
        <item x="1"/>
        <item t="default"/>
      </items>
    </pivotField>
    <pivotField axis="axisRow"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numFmtId="3" showAll="0"/>
    <pivotField dataField="1" numFmtId="3" showAll="0"/>
    <pivotField numFmtId="3" showAll="0"/>
    <pivotField numFmtId="3" showAll="0"/>
    <pivotField dataField="1" numFmtId="3" showAll="0"/>
    <pivotField showAll="0"/>
    <pivotField numFmtId="10" showAll="0"/>
  </pivotFields>
  <rowFields count="2">
    <field x="0"/>
    <field x="1"/>
  </rowFields>
  <rowItems count="9">
    <i>
      <x/>
    </i>
    <i r="1">
      <x/>
    </i>
    <i r="1">
      <x v="1"/>
    </i>
    <i r="1">
      <x v="2"/>
    </i>
    <i r="1">
      <x v="3"/>
    </i>
    <i>
      <x v="1"/>
    </i>
    <i r="1">
      <x/>
    </i>
    <i r="1"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Profit (THB)" fld="9" baseField="0" baseItem="0"/>
    <dataField name="Sum of Revenue (THB)" fld="6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7">
  <location ref="A3:C8" firstHeaderRow="0" firstDataRow="1" firstDataCol="1"/>
  <pivotFields count="12">
    <pivotField showAll="0"/>
    <pivotField showAll="0"/>
    <pivotField showAll="0"/>
    <pivotField axis="axisRow" multipleItemSelectionAllowed="1" showAll="0">
      <items count="5">
        <item x="0"/>
        <item x="2"/>
        <item x="1"/>
        <item x="3"/>
        <item t="default"/>
      </items>
    </pivotField>
    <pivotField showAll="0"/>
    <pivotField numFmtId="3" showAll="0"/>
    <pivotField dataField="1" numFmtId="3" showAll="0"/>
    <pivotField numFmtId="3" showAll="0"/>
    <pivotField numFmtId="3" showAll="0"/>
    <pivotField dataField="1" numFmtId="3" showAll="0"/>
    <pivotField showAll="0"/>
    <pivotField numFmtId="10"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Revenue (THB)" fld="6" baseField="0" baseItem="0"/>
    <dataField name="Sum of Profit (THB)" fld="9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3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12">
  <location ref="B4:C7" firstHeaderRow="1" firstDataRow="1" firstDataCol="1"/>
  <pivotFields count="12">
    <pivotField axis="axisRow" multipleItemSelectionAllowed="1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numFmtId="3" showAll="0"/>
    <pivotField numFmtId="3" showAll="0"/>
    <pivotField numFmtId="3" showAll="0"/>
    <pivotField numFmtId="3" showAll="0"/>
    <pivotField numFmtId="3" showAll="0"/>
    <pivotField dataField="1" showAll="0"/>
    <pivotField numFmtId="10" showAll="0"/>
  </pivotFields>
  <rowFields count="1">
    <field x="0"/>
  </rowFields>
  <rowItems count="3">
    <i>
      <x/>
    </i>
    <i>
      <x v="1"/>
    </i>
    <i t="grand">
      <x/>
    </i>
  </rowItems>
  <colItems count="1">
    <i/>
  </colItems>
  <dataFields count="1">
    <dataField name="Sum of ROI %" fld="10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4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showHeaders="0" outline="1" outlineData="1" multipleFieldFilters="0" chartFormat="14">
  <location ref="B3:D10" firstHeaderRow="0" firstDataRow="1" firstDataCol="1"/>
  <pivotFields count="12">
    <pivotField showAll="0"/>
    <pivotField showAll="0"/>
    <pivotField axis="axisRow" showAll="0">
      <items count="7">
        <item x="0"/>
        <item x="2"/>
        <item x="3"/>
        <item x="1"/>
        <item x="5"/>
        <item x="4"/>
        <item t="default"/>
      </items>
    </pivotField>
    <pivotField showAll="0"/>
    <pivotField showAll="0"/>
    <pivotField numFmtId="3" showAll="0"/>
    <pivotField numFmtId="3" showAll="0"/>
    <pivotField dataField="1" numFmtId="3" showAll="0"/>
    <pivotField dataField="1" numFmtId="3" showAll="0"/>
    <pivotField numFmtId="3" showAll="0"/>
    <pivotField showAll="0"/>
    <pivotField numFmtId="10" showAll="0"/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Merchandise Sales (THB)" fld="8" baseField="0" baseItem="0"/>
    <dataField name="Sum of Social Mentions" fld="7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7"/>
  <sheetViews>
    <sheetView workbookViewId="0">
      <selection sqref="A1:L7"/>
    </sheetView>
  </sheetViews>
  <sheetFormatPr defaultRowHeight="15" x14ac:dyDescent="0.25"/>
  <cols>
    <col min="1" max="1" width="15.28515625" customWidth="1"/>
    <col min="2" max="2" width="15.7109375" customWidth="1"/>
    <col min="3" max="3" width="18.5703125" customWidth="1"/>
    <col min="4" max="4" width="15.7109375" customWidth="1"/>
    <col min="5" max="5" width="16.5703125" customWidth="1"/>
    <col min="6" max="7" width="16" customWidth="1"/>
    <col min="8" max="8" width="14.85546875" customWidth="1"/>
    <col min="9" max="9" width="15.42578125" customWidth="1"/>
    <col min="10" max="10" width="16.42578125" customWidth="1"/>
    <col min="11" max="11" width="15.7109375" customWidth="1"/>
    <col min="12" max="12" width="13.28515625" customWidth="1"/>
  </cols>
  <sheetData>
    <row r="1" spans="1:12" ht="30" x14ac:dyDescent="0.25">
      <c r="A1" s="4" t="s">
        <v>26</v>
      </c>
      <c r="B1" s="4" t="s">
        <v>27</v>
      </c>
      <c r="C1" s="4" t="s">
        <v>12</v>
      </c>
      <c r="D1" s="4" t="s">
        <v>13</v>
      </c>
      <c r="E1" s="4" t="s">
        <v>0</v>
      </c>
      <c r="F1" s="4" t="s">
        <v>1</v>
      </c>
      <c r="G1" s="4" t="s">
        <v>2</v>
      </c>
      <c r="H1" s="4" t="s">
        <v>3</v>
      </c>
      <c r="I1" s="4" t="s">
        <v>4</v>
      </c>
      <c r="J1" s="4" t="s">
        <v>14</v>
      </c>
      <c r="K1" s="4" t="s">
        <v>7</v>
      </c>
      <c r="L1" s="4" t="s">
        <v>8</v>
      </c>
    </row>
    <row r="2" spans="1:12" x14ac:dyDescent="0.25">
      <c r="A2" s="5">
        <v>2023</v>
      </c>
      <c r="B2" s="5" t="s">
        <v>28</v>
      </c>
      <c r="C2" s="5" t="s">
        <v>15</v>
      </c>
      <c r="D2" s="5" t="s">
        <v>16</v>
      </c>
      <c r="E2" s="5" t="s">
        <v>5</v>
      </c>
      <c r="F2" s="6">
        <v>20000000</v>
      </c>
      <c r="G2" s="6">
        <v>45000000</v>
      </c>
      <c r="H2" s="6">
        <v>150000</v>
      </c>
      <c r="I2" s="6">
        <v>18000000</v>
      </c>
      <c r="J2" s="6">
        <v>25000000</v>
      </c>
      <c r="K2" s="7">
        <v>1.25</v>
      </c>
      <c r="L2" s="8">
        <v>0.55559999999999998</v>
      </c>
    </row>
    <row r="3" spans="1:12" x14ac:dyDescent="0.25">
      <c r="A3" s="5">
        <v>2023</v>
      </c>
      <c r="B3" s="5" t="s">
        <v>29</v>
      </c>
      <c r="C3" s="5" t="s">
        <v>17</v>
      </c>
      <c r="D3" s="5" t="s">
        <v>18</v>
      </c>
      <c r="E3" s="5" t="s">
        <v>6</v>
      </c>
      <c r="F3" s="6">
        <v>25000000</v>
      </c>
      <c r="G3" s="6">
        <v>40000000</v>
      </c>
      <c r="H3" s="6">
        <v>120000</v>
      </c>
      <c r="I3" s="6">
        <v>12000000</v>
      </c>
      <c r="J3" s="6">
        <v>15000000</v>
      </c>
      <c r="K3" s="7">
        <v>0.6</v>
      </c>
      <c r="L3" s="8">
        <v>0.375</v>
      </c>
    </row>
    <row r="4" spans="1:12" x14ac:dyDescent="0.25">
      <c r="A4" s="5">
        <v>2023</v>
      </c>
      <c r="B4" s="5" t="s">
        <v>30</v>
      </c>
      <c r="C4" s="5" t="s">
        <v>19</v>
      </c>
      <c r="D4" s="5" t="s">
        <v>20</v>
      </c>
      <c r="E4" s="5" t="s">
        <v>5</v>
      </c>
      <c r="F4" s="6">
        <v>15000000</v>
      </c>
      <c r="G4" s="6">
        <v>22000000</v>
      </c>
      <c r="H4" s="6">
        <v>90000</v>
      </c>
      <c r="I4" s="6">
        <v>5000000</v>
      </c>
      <c r="J4" s="6">
        <v>7000000</v>
      </c>
      <c r="K4" s="8">
        <v>0.4667</v>
      </c>
      <c r="L4" s="8">
        <v>0.31819999999999998</v>
      </c>
    </row>
    <row r="5" spans="1:12" x14ac:dyDescent="0.25">
      <c r="A5" s="5">
        <v>2023</v>
      </c>
      <c r="B5" s="5" t="s">
        <v>31</v>
      </c>
      <c r="C5" s="5" t="s">
        <v>21</v>
      </c>
      <c r="D5" s="5" t="s">
        <v>22</v>
      </c>
      <c r="E5" s="5" t="s">
        <v>6</v>
      </c>
      <c r="F5" s="6">
        <v>18000000</v>
      </c>
      <c r="G5" s="6">
        <v>24000000</v>
      </c>
      <c r="H5" s="6">
        <v>85000</v>
      </c>
      <c r="I5" s="6">
        <v>6000000</v>
      </c>
      <c r="J5" s="6">
        <v>6000000</v>
      </c>
      <c r="K5" s="8">
        <v>0.33329999999999999</v>
      </c>
      <c r="L5" s="8">
        <v>0.25</v>
      </c>
    </row>
    <row r="6" spans="1:12" x14ac:dyDescent="0.25">
      <c r="A6" s="5">
        <v>2024</v>
      </c>
      <c r="B6" s="5" t="s">
        <v>28</v>
      </c>
      <c r="C6" s="5" t="s">
        <v>23</v>
      </c>
      <c r="D6" s="5" t="s">
        <v>16</v>
      </c>
      <c r="E6" s="5" t="s">
        <v>5</v>
      </c>
      <c r="F6" s="6">
        <v>30000000</v>
      </c>
      <c r="G6" s="6">
        <v>70000000</v>
      </c>
      <c r="H6" s="6">
        <v>220000</v>
      </c>
      <c r="I6" s="6">
        <v>30000000</v>
      </c>
      <c r="J6" s="6">
        <v>40000000</v>
      </c>
      <c r="K6" s="8">
        <v>1.3332999999999999</v>
      </c>
      <c r="L6" s="8">
        <v>0.57140000000000002</v>
      </c>
    </row>
    <row r="7" spans="1:12" x14ac:dyDescent="0.25">
      <c r="A7" s="5">
        <v>2024</v>
      </c>
      <c r="B7" s="5" t="s">
        <v>29</v>
      </c>
      <c r="C7" s="5" t="s">
        <v>24</v>
      </c>
      <c r="D7" s="5" t="s">
        <v>18</v>
      </c>
      <c r="E7" s="5" t="s">
        <v>25</v>
      </c>
      <c r="F7" s="6">
        <v>22000000</v>
      </c>
      <c r="G7" s="6">
        <v>28000000</v>
      </c>
      <c r="H7" s="6">
        <v>95000</v>
      </c>
      <c r="I7" s="6">
        <v>7000000</v>
      </c>
      <c r="J7" s="6">
        <v>6000000</v>
      </c>
      <c r="K7" s="8">
        <v>0.2727</v>
      </c>
      <c r="L7" s="8">
        <v>0.21429999999999999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E12"/>
  <sheetViews>
    <sheetView workbookViewId="0">
      <selection activeCell="G6" sqref="G6"/>
    </sheetView>
  </sheetViews>
  <sheetFormatPr defaultRowHeight="15" x14ac:dyDescent="0.25"/>
  <cols>
    <col min="1" max="1" width="13.140625" customWidth="1"/>
    <col min="2" max="2" width="18.140625" customWidth="1"/>
    <col min="3" max="3" width="21" bestFit="1" customWidth="1"/>
    <col min="4" max="4" width="19.42578125" bestFit="1" customWidth="1"/>
    <col min="5" max="5" width="21" customWidth="1"/>
  </cols>
  <sheetData>
    <row r="3" spans="3:5" x14ac:dyDescent="0.25">
      <c r="C3" s="2" t="s">
        <v>32</v>
      </c>
      <c r="D3" t="s">
        <v>33</v>
      </c>
      <c r="E3" t="s">
        <v>9</v>
      </c>
    </row>
    <row r="4" spans="3:5" x14ac:dyDescent="0.25">
      <c r="C4" s="3">
        <v>2023</v>
      </c>
      <c r="D4" s="1">
        <v>53000000</v>
      </c>
      <c r="E4" s="1">
        <v>131000000</v>
      </c>
    </row>
    <row r="5" spans="3:5" x14ac:dyDescent="0.25">
      <c r="C5" s="9" t="s">
        <v>28</v>
      </c>
      <c r="D5" s="1">
        <v>25000000</v>
      </c>
      <c r="E5" s="1">
        <v>45000000</v>
      </c>
    </row>
    <row r="6" spans="3:5" x14ac:dyDescent="0.25">
      <c r="C6" s="9" t="s">
        <v>29</v>
      </c>
      <c r="D6" s="1">
        <v>15000000</v>
      </c>
      <c r="E6" s="1">
        <v>40000000</v>
      </c>
    </row>
    <row r="7" spans="3:5" x14ac:dyDescent="0.25">
      <c r="C7" s="9" t="s">
        <v>30</v>
      </c>
      <c r="D7" s="1">
        <v>7000000</v>
      </c>
      <c r="E7" s="1">
        <v>22000000</v>
      </c>
    </row>
    <row r="8" spans="3:5" x14ac:dyDescent="0.25">
      <c r="C8" s="9" t="s">
        <v>31</v>
      </c>
      <c r="D8" s="1">
        <v>6000000</v>
      </c>
      <c r="E8" s="1">
        <v>24000000</v>
      </c>
    </row>
    <row r="9" spans="3:5" x14ac:dyDescent="0.25">
      <c r="C9" s="3">
        <v>2024</v>
      </c>
      <c r="D9" s="1">
        <v>46000000</v>
      </c>
      <c r="E9" s="1">
        <v>98000000</v>
      </c>
    </row>
    <row r="10" spans="3:5" x14ac:dyDescent="0.25">
      <c r="C10" s="9" t="s">
        <v>28</v>
      </c>
      <c r="D10" s="1">
        <v>40000000</v>
      </c>
      <c r="E10" s="1">
        <v>70000000</v>
      </c>
    </row>
    <row r="11" spans="3:5" x14ac:dyDescent="0.25">
      <c r="C11" s="9" t="s">
        <v>29</v>
      </c>
      <c r="D11" s="1">
        <v>6000000</v>
      </c>
      <c r="E11" s="1">
        <v>28000000</v>
      </c>
    </row>
    <row r="12" spans="3:5" x14ac:dyDescent="0.25">
      <c r="C12" s="3" t="s">
        <v>11</v>
      </c>
      <c r="D12" s="1">
        <v>99000000</v>
      </c>
      <c r="E12" s="1">
        <v>229000000</v>
      </c>
    </row>
  </sheetData>
  <pageMargins left="0.7" right="0.7" top="0.75" bottom="0.75" header="0.3" footer="0.3"/>
  <pageSetup orientation="portrait" r:id="rId2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C8"/>
  <sheetViews>
    <sheetView workbookViewId="0">
      <selection activeCell="F8" sqref="F8"/>
    </sheetView>
  </sheetViews>
  <sheetFormatPr defaultRowHeight="15" x14ac:dyDescent="0.25"/>
  <cols>
    <col min="1" max="1" width="13.140625" customWidth="1"/>
    <col min="2" max="2" width="21" customWidth="1"/>
    <col min="3" max="3" width="18.140625" customWidth="1"/>
    <col min="4" max="4" width="9.140625" customWidth="1"/>
  </cols>
  <sheetData>
    <row r="3" spans="1:3" x14ac:dyDescent="0.25">
      <c r="A3" s="2" t="s">
        <v>32</v>
      </c>
      <c r="B3" t="s">
        <v>9</v>
      </c>
      <c r="C3" t="s">
        <v>33</v>
      </c>
    </row>
    <row r="4" spans="1:3" x14ac:dyDescent="0.25">
      <c r="A4" s="3" t="s">
        <v>16</v>
      </c>
      <c r="B4" s="1">
        <v>115000000</v>
      </c>
      <c r="C4" s="1">
        <v>65000000</v>
      </c>
    </row>
    <row r="5" spans="1:3" x14ac:dyDescent="0.25">
      <c r="A5" s="3" t="s">
        <v>20</v>
      </c>
      <c r="B5" s="1">
        <v>22000000</v>
      </c>
      <c r="C5" s="1">
        <v>7000000</v>
      </c>
    </row>
    <row r="6" spans="1:3" x14ac:dyDescent="0.25">
      <c r="A6" s="3" t="s">
        <v>18</v>
      </c>
      <c r="B6" s="1">
        <v>68000000</v>
      </c>
      <c r="C6" s="1">
        <v>21000000</v>
      </c>
    </row>
    <row r="7" spans="1:3" x14ac:dyDescent="0.25">
      <c r="A7" s="3" t="s">
        <v>22</v>
      </c>
      <c r="B7" s="1">
        <v>24000000</v>
      </c>
      <c r="C7" s="1">
        <v>6000000</v>
      </c>
    </row>
    <row r="8" spans="1:3" x14ac:dyDescent="0.25">
      <c r="A8" s="3" t="s">
        <v>11</v>
      </c>
      <c r="B8" s="1">
        <v>229000000</v>
      </c>
      <c r="C8" s="1">
        <v>99000000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C7"/>
  <sheetViews>
    <sheetView workbookViewId="0">
      <selection activeCell="J36" sqref="J36"/>
    </sheetView>
  </sheetViews>
  <sheetFormatPr defaultRowHeight="15" x14ac:dyDescent="0.25"/>
  <cols>
    <col min="2" max="2" width="13.140625" customWidth="1"/>
    <col min="3" max="3" width="12.7109375" customWidth="1"/>
    <col min="4" max="4" width="11.28515625" bestFit="1" customWidth="1"/>
  </cols>
  <sheetData>
    <row r="4" spans="2:3" x14ac:dyDescent="0.25">
      <c r="B4" s="2" t="s">
        <v>32</v>
      </c>
      <c r="C4" t="s">
        <v>10</v>
      </c>
    </row>
    <row r="5" spans="2:3" x14ac:dyDescent="0.25">
      <c r="B5" s="3">
        <v>2023</v>
      </c>
      <c r="C5" s="1">
        <v>2.65</v>
      </c>
    </row>
    <row r="6" spans="2:3" x14ac:dyDescent="0.25">
      <c r="B6" s="3">
        <v>2024</v>
      </c>
      <c r="C6" s="1">
        <v>1.6059999999999999</v>
      </c>
    </row>
    <row r="7" spans="2:3" x14ac:dyDescent="0.25">
      <c r="B7" s="3" t="s">
        <v>11</v>
      </c>
      <c r="C7" s="1">
        <v>4.2560000000000002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D10"/>
  <sheetViews>
    <sheetView tabSelected="1" workbookViewId="0">
      <selection activeCell="L10" sqref="L10"/>
    </sheetView>
  </sheetViews>
  <sheetFormatPr defaultRowHeight="15" x14ac:dyDescent="0.25"/>
  <cols>
    <col min="2" max="2" width="14.5703125" customWidth="1"/>
    <col min="3" max="3" width="30.140625" bestFit="1" customWidth="1"/>
    <col min="4" max="4" width="22.140625" bestFit="1" customWidth="1"/>
  </cols>
  <sheetData>
    <row r="3" spans="2:4" x14ac:dyDescent="0.25">
      <c r="C3" t="s">
        <v>34</v>
      </c>
      <c r="D3" t="s">
        <v>35</v>
      </c>
    </row>
    <row r="4" spans="2:4" x14ac:dyDescent="0.25">
      <c r="B4" s="3" t="s">
        <v>15</v>
      </c>
      <c r="C4" s="1">
        <v>18000000</v>
      </c>
      <c r="D4" s="1">
        <v>150000</v>
      </c>
    </row>
    <row r="5" spans="2:4" x14ac:dyDescent="0.25">
      <c r="B5" s="3" t="s">
        <v>19</v>
      </c>
      <c r="C5" s="1">
        <v>5000000</v>
      </c>
      <c r="D5" s="1">
        <v>90000</v>
      </c>
    </row>
    <row r="6" spans="2:4" x14ac:dyDescent="0.25">
      <c r="B6" s="3" t="s">
        <v>21</v>
      </c>
      <c r="C6" s="1">
        <v>6000000</v>
      </c>
      <c r="D6" s="1">
        <v>85000</v>
      </c>
    </row>
    <row r="7" spans="2:4" x14ac:dyDescent="0.25">
      <c r="B7" s="3" t="s">
        <v>17</v>
      </c>
      <c r="C7" s="1">
        <v>12000000</v>
      </c>
      <c r="D7" s="1">
        <v>120000</v>
      </c>
    </row>
    <row r="8" spans="2:4" x14ac:dyDescent="0.25">
      <c r="B8" s="3" t="s">
        <v>24</v>
      </c>
      <c r="C8" s="1">
        <v>7000000</v>
      </c>
      <c r="D8" s="1">
        <v>95000</v>
      </c>
    </row>
    <row r="9" spans="2:4" x14ac:dyDescent="0.25">
      <c r="B9" s="3" t="s">
        <v>23</v>
      </c>
      <c r="C9" s="1">
        <v>30000000</v>
      </c>
      <c r="D9" s="1">
        <v>220000</v>
      </c>
    </row>
    <row r="10" spans="2:4" x14ac:dyDescent="0.25">
      <c r="B10" s="3" t="s">
        <v>11</v>
      </c>
      <c r="C10" s="1">
        <v>78000000</v>
      </c>
      <c r="D10" s="1">
        <v>760000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</vt:lpstr>
      <vt:lpstr>Revenue Trend (Year &amp; Quarter)</vt:lpstr>
      <vt:lpstr>Revenue by Genre</vt:lpstr>
      <vt:lpstr>ROI Trend (Year Based)</vt:lpstr>
      <vt:lpstr>Social Impact Analysis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Shubham Panchal</dc:creator>
  <cp:lastModifiedBy>Shubham Panchal</cp:lastModifiedBy>
  <cp:lastPrinted>2026-02-24T10:24:38Z</cp:lastPrinted>
  <dcterms:created xsi:type="dcterms:W3CDTF">2026-02-19T07:10:52Z</dcterms:created>
  <dcterms:modified xsi:type="dcterms:W3CDTF">2026-02-24T13:24:10Z</dcterms:modified>
</cp:coreProperties>
</file>